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" sheetId="1" r:id="rId5"/>
    <sheet state="visible" name="Achat" sheetId="2" r:id="rId6"/>
    <sheet state="visible" name="BOM" sheetId="3" r:id="rId7"/>
    <sheet state="visible" name="Site" sheetId="4" r:id="rId8"/>
  </sheets>
  <definedNames/>
  <calcPr/>
</workbook>
</file>

<file path=xl/sharedStrings.xml><?xml version="1.0" encoding="utf-8"?>
<sst xmlns="http://schemas.openxmlformats.org/spreadsheetml/2006/main" count="313" uniqueCount="213">
  <si>
    <t>Légende:</t>
  </si>
  <si>
    <t>à acheter</t>
  </si>
  <si>
    <t>Vue 3d indisponible</t>
  </si>
  <si>
    <t>à fabriquer</t>
  </si>
  <si>
    <t>Solutions industrielles et composants électroniques | RS</t>
  </si>
  <si>
    <t>à remplacer/acheter autre</t>
  </si>
  <si>
    <t>Liste de materiel</t>
  </si>
  <si>
    <t>à acheter et sans doute à modifier</t>
  </si>
  <si>
    <t>description</t>
  </si>
  <si>
    <t xml:space="preserve">acheter : </t>
  </si>
  <si>
    <t>surface/ diametre</t>
  </si>
  <si>
    <t>longueur</t>
  </si>
  <si>
    <t>Nombre</t>
  </si>
  <si>
    <t>Nom de création</t>
  </si>
  <si>
    <t>nombre</t>
  </si>
  <si>
    <t>surface (en mm)</t>
  </si>
  <si>
    <t>prix unité HT</t>
  </si>
  <si>
    <t>TTC</t>
  </si>
  <si>
    <t>longueur (mm)</t>
  </si>
  <si>
    <t>Total HT</t>
  </si>
  <si>
    <t>Total</t>
  </si>
  <si>
    <t>Moteur pas à pas</t>
  </si>
  <si>
    <t>Fournisseur</t>
  </si>
  <si>
    <t>liens</t>
  </si>
  <si>
    <t>Farnell France - Distributeur de composants électroniques</t>
  </si>
  <si>
    <t>prix unité</t>
  </si>
  <si>
    <t>Servo moteur</t>
  </si>
  <si>
    <t>carte arduino UNO</t>
  </si>
  <si>
    <t>elec</t>
  </si>
  <si>
    <t>carte shield CNC</t>
  </si>
  <si>
    <t>bouton swtich</t>
  </si>
  <si>
    <t>STRUCTURE :</t>
  </si>
  <si>
    <t>mini roulement a bille</t>
  </si>
  <si>
    <t>profilée alu</t>
  </si>
  <si>
    <t>20x20</t>
  </si>
  <si>
    <t>Poulie crantée  18 dents opposée au moteur</t>
  </si>
  <si>
    <t>roue crantée liée aux moteurs</t>
  </si>
  <si>
    <t>Univers Général - Foussier</t>
  </si>
  <si>
    <t>20 dents</t>
  </si>
  <si>
    <t xml:space="preserve">courroie </t>
  </si>
  <si>
    <t>tige alu</t>
  </si>
  <si>
    <t>Unité de glissière de mouvement linéaire</t>
  </si>
  <si>
    <t>liaison moteur - barre</t>
  </si>
  <si>
    <t>Vis</t>
  </si>
  <si>
    <t>M5</t>
  </si>
  <si>
    <t>ecrou frein</t>
  </si>
  <si>
    <t>Profilés Aluminium Modulaires &amp; Accessoires | SystéAl</t>
  </si>
  <si>
    <t>pas sur de l'utilité / pas à acheter</t>
  </si>
  <si>
    <t>Créer 3D :</t>
  </si>
  <si>
    <t>Barre 24x8x16</t>
  </si>
  <si>
    <t>petite barre de structure</t>
  </si>
  <si>
    <t>24x08</t>
  </si>
  <si>
    <t>1. Beam 0824-16 x1</t>
  </si>
  <si>
    <t>Beam_16</t>
  </si>
  <si>
    <t>Barre 24x8x48</t>
  </si>
  <si>
    <t>structure fabriction 3D</t>
  </si>
  <si>
    <t>Beam_48</t>
  </si>
  <si>
    <t>Barre 24x8x80</t>
  </si>
  <si>
    <t>Vente Outillage &amp; Matériel pour Professionnels | WURTH</t>
  </si>
  <si>
    <t>Beam_80</t>
  </si>
  <si>
    <t>Barre 24x8x96</t>
  </si>
  <si>
    <t>Beam_96</t>
  </si>
  <si>
    <t>Barre 24x8x112</t>
  </si>
  <si>
    <t>Go tronic</t>
  </si>
  <si>
    <t>Beam_112</t>
  </si>
  <si>
    <t>Barre 8x8x80</t>
  </si>
  <si>
    <t>08x08</t>
  </si>
  <si>
    <t>17HS19-2004S</t>
  </si>
  <si>
    <t>Makershop | Expert impression 3D en France - Makershop</t>
  </si>
  <si>
    <t>BeamFin_80</t>
  </si>
  <si>
    <t>support L</t>
  </si>
  <si>
    <t>petit support en L</t>
  </si>
  <si>
    <t>26x26</t>
  </si>
  <si>
    <t>2. Beam 0824-48 x4</t>
  </si>
  <si>
    <t>3. Beam 0824-80 x1</t>
  </si>
  <si>
    <t>RobotShop | Boutique de Robots | Pièces de Robots | Robots en Kits | Robots Jouets</t>
  </si>
  <si>
    <t>5. Beam 0824-96 x4</t>
  </si>
  <si>
    <t>support U</t>
  </si>
  <si>
    <t>Support pièce en U pour poulie</t>
  </si>
  <si>
    <t>28x26</t>
  </si>
  <si>
    <t>6. Beam 0824-112 x2</t>
  </si>
  <si>
    <t xml:space="preserve">Support plaque troué </t>
  </si>
  <si>
    <t>48x24</t>
  </si>
  <si>
    <t>7. Beam 0824-496 x2</t>
  </si>
  <si>
    <t>connecteur courroie</t>
  </si>
  <si>
    <t>connecteur de la couroie petit support carré
avec trou au millieu</t>
  </si>
  <si>
    <t>24x24</t>
  </si>
  <si>
    <t>Profilé aluminium 20x20 fente 6 mm</t>
  </si>
  <si>
    <t>Support Switch</t>
  </si>
  <si>
    <t>Robots autonomes, robots mobiles, bras robotiques, cobots</t>
  </si>
  <si>
    <t>Support pour swtich</t>
  </si>
  <si>
    <t>support servo moteur</t>
  </si>
  <si>
    <t>32x36</t>
  </si>
  <si>
    <t>Support L moteur</t>
  </si>
  <si>
    <t>Support en L pour moteur</t>
  </si>
  <si>
    <t>26x2</t>
  </si>
  <si>
    <t>Cogibot : Robots éducatifs et Animations événementielles</t>
  </si>
  <si>
    <t>8. Beam 0808-80 x1</t>
  </si>
  <si>
    <t>Lextronic</t>
  </si>
  <si>
    <t>9. Beam2424-504 x2</t>
  </si>
  <si>
    <t>https://www.lextronic.fr/courroie-5-m-ouverte-78561.html?fast_search=fs</t>
  </si>
  <si>
    <t>SUPPORT :</t>
  </si>
  <si>
    <t>Hexadrone France - Spécialiste du drone et créateur du TUNDRA</t>
  </si>
  <si>
    <t>10. Bracket 3x3 x2</t>
  </si>
  <si>
    <t>Support en L (troué des 2 côtés en 3x3)</t>
  </si>
  <si>
    <t>GoTronic | Robotique et composants électroniques</t>
  </si>
  <si>
    <t>Largeur=24 mm       Epaisseur= 2 mm     Longueur=48 mm</t>
  </si>
  <si>
    <t>11. Plate 3x6 x5</t>
  </si>
  <si>
    <t>plaque trouée (3ligne de 6)</t>
  </si>
  <si>
    <t>Lextronic distributeur d'accessoires électroniques pour les écoles, les particuliers et les professionnels</t>
  </si>
  <si>
    <t>12. Bracket U1 x5</t>
  </si>
  <si>
    <t>Support (pièce en U qui doit acceuillir 
un profilé ou une tige)</t>
  </si>
  <si>
    <t>13. Belt Connector x3</t>
  </si>
  <si>
    <t>connecteur de la courroie (petit support carré
avec trou au millieu)</t>
  </si>
  <si>
    <t>14. 42BYG Stepper Motor Bracket x2</t>
  </si>
  <si>
    <t>support en L avec un grand trou d'un coté</t>
  </si>
  <si>
    <t>39. Base Bracket x1</t>
  </si>
  <si>
    <t>https://www.lextronic.fr/mini-servomoteur-feetech-ft90b-faible-tension-77915.html</t>
  </si>
  <si>
    <t>40. LS Bracket V2.0 x4</t>
  </si>
  <si>
    <t>Support qu'il faudra modéliser et imprimer</t>
  </si>
  <si>
    <t>41. 9g micro servo bracket x1</t>
  </si>
  <si>
    <t>servo moteur 9g</t>
  </si>
  <si>
    <t>TRANSMITION :</t>
  </si>
  <si>
    <t>17. Timing Pulley18T x6</t>
  </si>
  <si>
    <t>https://www.lextronic.fr/arduino-r4-minima-76817.html</t>
  </si>
  <si>
    <t>Poulie pour courroie GT2 largeur 6 mm</t>
  </si>
  <si>
    <t>roue crantée liée au moteur</t>
  </si>
  <si>
    <t>https://www.systeal.com/fr/pignons-et-courroies/1890-pignon-pour-courroie-gt2-6mm.html</t>
  </si>
  <si>
    <t>https://www.lextronic.fr/shield-cnc-pour-arduino-ard-cnc-kit1-78058.html</t>
  </si>
  <si>
    <t>18. Open-end Timing Belt (1.3m) x3</t>
  </si>
  <si>
    <t>bouton detecteur placement</t>
  </si>
  <si>
    <t>https://www.lextronic.fr/micro-switch-microrupteur-a-levier-avec-roulette-10a-wen10184-3127.html</t>
  </si>
  <si>
    <t>19. D Shaft 4x56mm x2</t>
  </si>
  <si>
    <t>4 (diamètre)</t>
  </si>
  <si>
    <t>Arbre de précision diamètre 6 mm</t>
  </si>
  <si>
    <t>23. Linear Motion Shaft D8X496mm x4</t>
  </si>
  <si>
    <t>8 (diamètre)</t>
  </si>
  <si>
    <t>24. Linear Motion Slide Unit 8mm x6</t>
  </si>
  <si>
    <t>https://www.systeal.com/fr/guidage-lineaire-sur-arbre-de-precision/1885-2192-unite-de-roulement-lineaire.html#/239-diametre_de_l_arbre-8_mm</t>
  </si>
  <si>
    <t>RS</t>
  </si>
  <si>
    <t>https://fr.rs-online.com/web/p/roulements-a-billes/6189913?gb=s</t>
  </si>
  <si>
    <t>20. Threaded Shaft 4x39mm x1</t>
  </si>
  <si>
    <t>tige filetée partiellement</t>
  </si>
  <si>
    <t>21. Shaft Collar 4mm x10</t>
  </si>
  <si>
    <t>collier de serrage pour bloquer les barres tournante</t>
  </si>
  <si>
    <t>22. Flexible coupling 4x4mm x1</t>
  </si>
  <si>
    <t>25. Flange Bearing 4x8x3mm x10</t>
  </si>
  <si>
    <t>Systeal</t>
  </si>
  <si>
    <t>42. Linear Motion Shaft D4x512mm x1</t>
  </si>
  <si>
    <t>43. Linear Motion Shaft D4x80mm x1</t>
  </si>
  <si>
    <t>FIXATION :</t>
  </si>
  <si>
    <t>27. Nut M4 x50</t>
  </si>
  <si>
    <t>écrou</t>
  </si>
  <si>
    <t>M4</t>
  </si>
  <si>
    <t>28. Countersunk Screw M3x8 x10</t>
  </si>
  <si>
    <t>vis fraisé</t>
  </si>
  <si>
    <t>M3</t>
  </si>
  <si>
    <t>29. Headless Set Screw M3x5 x26</t>
  </si>
  <si>
    <t>vis de serrage sans tête</t>
  </si>
  <si>
    <t>30. Plastic Rivet R4060 x16</t>
  </si>
  <si>
    <t>rivet R4060</t>
  </si>
  <si>
    <t>31. Plastic Rivet R4100 x6</t>
  </si>
  <si>
    <t>rivet R4100</t>
  </si>
  <si>
    <t>32. Plastic Ring 4x7x2mm x20</t>
  </si>
  <si>
    <t>roulement à bille en plastique 4x7x2</t>
  </si>
  <si>
    <t>33. Nut M2 x3 Cross recessed pan head screw M2×10 x3</t>
  </si>
  <si>
    <t>M2</t>
  </si>
  <si>
    <t>34. Hexagon socket button head screws M4×14 x30</t>
  </si>
  <si>
    <t>Vis Tête Hexagonale</t>
  </si>
  <si>
    <t>35. Hexagon socket button head screws M4×16 x28</t>
  </si>
  <si>
    <t>36. Hexagon socket button head screws M4×22 x12</t>
  </si>
  <si>
    <t>37. Hexagon socket button head screws M4×30 x18</t>
  </si>
  <si>
    <t>38. Hexagon socket button head screws M4×8 x36</t>
  </si>
  <si>
    <t>44. Cross recessed pan head tapping screws-C ST 2.2×9.5 x10</t>
  </si>
  <si>
    <t>Vis crusciforme ST2.2x9.5</t>
  </si>
  <si>
    <t>45. Cuttable Linkage 3 x6</t>
  </si>
  <si>
    <t>pièce de lego ligne 1x3 clip</t>
  </si>
  <si>
    <t>FACILITE D'ASSEMBLAGE :</t>
  </si>
  <si>
    <t>https://www.systeal.com/fr/pignons-et-courroies/1890-2205-pignon-pour-courroie-gt2-6mm.html#/243-nombre_de_dents-20_dents/246-diametre_d_alesage-635_mm</t>
  </si>
  <si>
    <t>46. Nylon cable ties 2*100 x30</t>
  </si>
  <si>
    <t>cerflex</t>
  </si>
  <si>
    <t>2mm de diamètre</t>
  </si>
  <si>
    <t>100mm de longueur</t>
  </si>
  <si>
    <t>47. Rubber band x5</t>
  </si>
  <si>
    <t>élastiques</t>
  </si>
  <si>
    <t>ELEC :</t>
  </si>
  <si>
    <t>15. K-Power 9g Micro Servo x1</t>
  </si>
  <si>
    <t>servo moteur</t>
  </si>
  <si>
    <t>https://www.systeal.com/fr/guidage-lineaire-sur-arbre-de-precision/1885-2191-unite-de-roulement-lineaire.html#/238-diametre_de_l_arbre-6_mm</t>
  </si>
  <si>
    <t>16. 42BYG Stepper Motor x2</t>
  </si>
  <si>
    <t>Moteurs pas-à-pas - Go tronic
https://www.lextronic.fr/moteurs-pas-a-pas-nema-17-10823</t>
  </si>
  <si>
    <t>https://www.systeal.com/fr/accouplements/1570-accouplement-a-machoire-pour-couple-eleve-635mm-x-8-mm.html</t>
  </si>
  <si>
    <t>arduino</t>
  </si>
  <si>
    <t>1. Me-Baseboard x1</t>
  </si>
  <si>
    <t>carte basée sur le microcontrôleur ATmega32U4</t>
  </si>
  <si>
    <t>sheild cnc</t>
  </si>
  <si>
    <t>2. Me Stepper motordriver V1.0 x2</t>
  </si>
  <si>
    <t>carte controleur moteur</t>
  </si>
  <si>
    <t>3. RJ25 Adapter x3</t>
  </si>
  <si>
    <t>adapteur arduino RJ45</t>
  </si>
  <si>
    <t>4. Wall Adapter Power Supply - 12VDC x1</t>
  </si>
  <si>
    <t>Alimentation + cable</t>
  </si>
  <si>
    <t>5. Micro Switch Button x4</t>
  </si>
  <si>
    <t>6. 6P6C RJ25 cable-20cm x2</t>
  </si>
  <si>
    <t>cable RJ45</t>
  </si>
  <si>
    <t>https://www.systeal.com/fr/visserie-et-divers/1407-lot-de-10-vis-chc-tete-basse-m5x12.html</t>
  </si>
  <si>
    <t>7. 6P6C RJ25 cable-35cm x1</t>
  </si>
  <si>
    <t xml:space="preserve">cable </t>
  </si>
  <si>
    <t>8. 6P6C RJ25 cable-50cm x2</t>
  </si>
  <si>
    <t>9. USB A-Male to B-Male Cable x1</t>
  </si>
  <si>
    <t>calbe usb - usb b</t>
  </si>
  <si>
    <t>TOTAL :</t>
  </si>
  <si>
    <t>https://www.systeal.com/fr/vis-ecrous-m5/1347-ecrou-frein-m5.html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</si>
</sst>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d-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</font>
    <font>
      <u/>
      <color rgb="FF0000FF"/>
    </font>
    <font>
      <u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</font>
    <font>
      <u/>
      <color rgb="FF1155CC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7" fontId="3" numFmtId="0" xfId="0" applyAlignment="1" applyFill="1" applyFont="1">
      <alignment vertical="bottom"/>
    </xf>
    <xf borderId="0" fillId="9" fontId="1" numFmtId="0" xfId="0" applyAlignment="1" applyFill="1" applyFont="1">
      <alignment readingOrder="0"/>
    </xf>
    <xf borderId="0" fillId="8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9" fontId="3" numFmtId="0" xfId="0" applyAlignment="1" applyFill="1" applyFont="1">
      <alignment vertical="bottom"/>
    </xf>
    <xf borderId="0" fillId="10" fontId="1" numFmtId="0" xfId="0" applyAlignment="1" applyFill="1" applyFont="1">
      <alignment readingOrder="0"/>
    </xf>
    <xf borderId="0" fillId="10" fontId="3" numFmtId="0" xfId="0" applyAlignment="1" applyFill="1" applyFont="1">
      <alignment horizontal="right" vertical="bottom"/>
    </xf>
    <xf borderId="0" fillId="11" fontId="1" numFmtId="0" xfId="0" applyAlignment="1" applyFill="1" applyFont="1">
      <alignment readingOrder="0"/>
    </xf>
    <xf borderId="0" fillId="11" fontId="3" numFmtId="164" xfId="0" applyAlignment="1" applyFill="1" applyFont="1" applyNumberFormat="1">
      <alignment readingOrder="0" vertical="bottom"/>
    </xf>
    <xf borderId="0" fillId="12" fontId="1" numFmtId="0" xfId="0" applyAlignment="1" applyFill="1" applyFont="1">
      <alignment readingOrder="0"/>
    </xf>
    <xf borderId="0" fillId="9" fontId="1" numFmtId="0" xfId="0" applyFill="1" applyFont="1"/>
    <xf borderId="0" fillId="13" fontId="1" numFmtId="0" xfId="0" applyAlignment="1" applyFill="1" applyFont="1">
      <alignment readingOrder="0"/>
    </xf>
    <xf borderId="0" fillId="0" fontId="5" numFmtId="0" xfId="0" applyAlignment="1" applyFont="1">
      <alignment horizontal="left" readingOrder="0"/>
    </xf>
    <xf borderId="0" fillId="8" fontId="1" numFmtId="165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7" fontId="5" numFmtId="0" xfId="0" applyAlignment="1" applyFill="1" applyFont="1">
      <alignment horizontal="left" readingOrder="0"/>
    </xf>
    <xf borderId="0" fillId="8" fontId="1" numFmtId="0" xfId="0" applyFill="1" applyFont="1"/>
    <xf borderId="0" fillId="0" fontId="1" numFmtId="164" xfId="0" applyFont="1" applyNumberFormat="1"/>
    <xf borderId="0" fillId="11" fontId="1" numFmtId="164" xfId="0" applyAlignment="1" applyFill="1" applyFont="1" applyNumberFormat="1">
      <alignment readingOrder="0"/>
    </xf>
    <xf borderId="0" fillId="14" fontId="1" numFmtId="0" xfId="0" applyAlignment="1" applyFill="1" applyFont="1">
      <alignment readingOrder="0"/>
    </xf>
    <xf borderId="0" fillId="15" fontId="5" numFmtId="0" xfId="0" applyAlignment="1" applyFill="1" applyFont="1">
      <alignment horizontal="left" readingOrder="0"/>
    </xf>
    <xf borderId="0" fillId="15" fontId="1" numFmtId="0" xfId="0" applyAlignment="1" applyFill="1" applyFont="1">
      <alignment readingOrder="0"/>
    </xf>
    <xf borderId="0" fillId="12" fontId="1" numFmtId="164" xfId="0" applyAlignment="1" applyFill="1" applyFont="1" applyNumberFormat="1">
      <alignment readingOrder="0"/>
    </xf>
    <xf borderId="0" fillId="8" fontId="5" numFmtId="0" xfId="0" applyAlignment="1" applyFill="1" applyFont="1">
      <alignment horizontal="left" readingOrder="0"/>
    </xf>
    <xf borderId="0" fillId="10" fontId="3" numFmtId="0" xfId="0" applyAlignment="1" applyFill="1" applyFont="1">
      <alignment horizontal="right" vertical="bottom"/>
    </xf>
    <xf borderId="0" fillId="0" fontId="7" numFmtId="164" xfId="0" applyAlignment="1" applyFont="1" applyNumberFormat="1">
      <alignment readingOrder="0"/>
    </xf>
    <xf borderId="0" fillId="15" fontId="3" numFmtId="0" xfId="0" applyAlignment="1" applyFill="1" applyFont="1">
      <alignment vertical="bottom"/>
    </xf>
    <xf borderId="0" fillId="9" fontId="3" numFmtId="0" xfId="0" applyAlignment="1" applyFill="1" applyFont="1">
      <alignment horizontal="right" vertical="bottom"/>
    </xf>
    <xf borderId="0" fillId="0" fontId="1" numFmtId="0" xfId="0" applyFont="1"/>
    <xf borderId="0" fillId="7" fontId="3" numFmtId="0" xfId="0" applyAlignment="1" applyFill="1" applyFont="1">
      <alignment readingOrder="0" vertical="bottom"/>
    </xf>
    <xf borderId="0" fillId="8" fontId="3" numFmtId="0" xfId="0" applyAlignment="1" applyFill="1" applyFont="1">
      <alignment readingOrder="0" vertical="bottom"/>
    </xf>
    <xf borderId="0" fillId="9" fontId="3" numFmtId="0" xfId="0" applyAlignment="1" applyFill="1" applyFont="1">
      <alignment readingOrder="0" vertical="bottom"/>
    </xf>
    <xf borderId="0" fillId="2" fontId="8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16" fontId="9" numFmtId="0" xfId="0" applyAlignment="1" applyFill="1" applyFont="1">
      <alignment readingOrder="0"/>
    </xf>
    <xf borderId="0" fillId="3" fontId="3" numFmtId="0" xfId="0" applyAlignment="1" applyFill="1" applyFont="1">
      <alignment vertical="bottom"/>
    </xf>
    <xf borderId="0" fillId="11" fontId="1" numFmtId="164" xfId="0" applyFill="1" applyFont="1" applyNumberFormat="1"/>
    <xf borderId="0" fillId="12" fontId="1" numFmtId="164" xfId="0" applyFill="1" applyFont="1" applyNumberFormat="1"/>
    <xf borderId="0" fillId="2" fontId="10" numFmtId="0" xfId="0" applyAlignment="1" applyFill="1" applyFont="1">
      <alignment readingOrder="0"/>
    </xf>
    <xf borderId="0" fillId="7" fontId="1" numFmtId="0" xfId="0" applyFill="1" applyFont="1"/>
    <xf borderId="0" fillId="17" fontId="1" numFmtId="0" xfId="0" applyAlignment="1" applyFill="1" applyFont="1">
      <alignment readingOrder="0"/>
    </xf>
    <xf borderId="0" fillId="0" fontId="11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5" fontId="3" numFmtId="0" xfId="0" applyAlignment="1" applyFill="1" applyFont="1">
      <alignment vertical="bottom"/>
    </xf>
    <xf borderId="0" fillId="11" fontId="3" numFmtId="164" xfId="0" applyAlignment="1" applyFill="1" applyFont="1" applyNumberFormat="1">
      <alignment vertical="bottom"/>
    </xf>
    <xf borderId="0" fillId="5" fontId="3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0" fontId="12" numFmtId="0" xfId="0" applyAlignment="1" applyFont="1">
      <alignment readingOrder="0"/>
    </xf>
    <xf borderId="0" fillId="16" fontId="1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jpg"/><Relationship Id="rId3" Type="http://schemas.openxmlformats.org/officeDocument/2006/relationships/image" Target="../media/image1.jpg"/><Relationship Id="rId4" Type="http://schemas.openxmlformats.org/officeDocument/2006/relationships/image" Target="../media/image4.jpg"/><Relationship Id="rId5" Type="http://schemas.openxmlformats.org/officeDocument/2006/relationships/image" Target="../media/image3.jpg"/><Relationship Id="rId6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jpg"/><Relationship Id="rId3" Type="http://schemas.openxmlformats.org/officeDocument/2006/relationships/image" Target="../media/image1.jpg"/><Relationship Id="rId4" Type="http://schemas.openxmlformats.org/officeDocument/2006/relationships/image" Target="../media/image6.png"/><Relationship Id="rId5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14</xdr:row>
      <xdr:rowOff>0</xdr:rowOff>
    </xdr:from>
    <xdr:ext cx="2886075" cy="288607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3771900" cy="2266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3095625" cy="15430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857375" cy="16478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009775" cy="13335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314575" cy="23145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24</xdr:row>
      <xdr:rowOff>0</xdr:rowOff>
    </xdr:from>
    <xdr:ext cx="1571625" cy="157162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1800225" cy="10763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1771650" cy="8858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1276350" cy="12763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1381125" cy="12287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ysteal.com/fr/profiles-aluminium-6-mm/1670-profile-aluminium-20x20-fente-6-mm.html" TargetMode="External"/><Relationship Id="rId2" Type="http://schemas.openxmlformats.org/officeDocument/2006/relationships/hyperlink" Target="https://www.systeal.com/fr/profiles-aluminium-6-mm/1670-profile-aluminium-20x20-fente-6-mm.html" TargetMode="External"/><Relationship Id="rId3" Type="http://schemas.openxmlformats.org/officeDocument/2006/relationships/hyperlink" Target="https://www.systeal.com/fr/pignons-et-courroies/1893-poulie-pour-courroie-gt2-largeur-6-mm.html" TargetMode="External"/><Relationship Id="rId4" Type="http://schemas.openxmlformats.org/officeDocument/2006/relationships/hyperlink" Target="https://www.systeal.com/fr/pignons-et-courroies/1890-pignon-pour-courroie-gt2-6mm.html" TargetMode="External"/><Relationship Id="rId11" Type="http://schemas.openxmlformats.org/officeDocument/2006/relationships/hyperlink" Target="https://www.gotronic.fr/cat-moteurs-pas-a-pas-1093.htm" TargetMode="External"/><Relationship Id="rId10" Type="http://schemas.openxmlformats.org/officeDocument/2006/relationships/hyperlink" Target="https://www.gotronic.fr/art-moteur-17hs19-2004s1-18355.ht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fr.rs-online.com/web/p/roulements-a-billes/6189913?gb=s" TargetMode="External"/><Relationship Id="rId5" Type="http://schemas.openxmlformats.org/officeDocument/2006/relationships/hyperlink" Target="https://www.systeal.com/fr/pignons-et-courroies/1386-courroie-crantee-gt2-6mm.html" TargetMode="External"/><Relationship Id="rId6" Type="http://schemas.openxmlformats.org/officeDocument/2006/relationships/hyperlink" Target="https://www.systeal.com/fr/guidage-lineaire-sur-arbre-de-precision/1880-arbre-de-precision-diametre-6-mm.html" TargetMode="External"/><Relationship Id="rId7" Type="http://schemas.openxmlformats.org/officeDocument/2006/relationships/hyperlink" Target="https://www.systeal.com/fr/guidage-lineaire-sur-arbre-de-precision/1880-arbre-de-precision-diametre-6-mm.html" TargetMode="External"/><Relationship Id="rId8" Type="http://schemas.openxmlformats.org/officeDocument/2006/relationships/hyperlink" Target="https://www.systeal.com/fr/guidage-lineaire-sur-arbre-de-precision/1885-2192-unite-de-roulement-lineaire.html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ysteal.com/fr/guidage-lineaire-sur-arbre-de-precision/1880-arbre-de-precision-diametre-6-mm.html" TargetMode="External"/><Relationship Id="rId10" Type="http://schemas.openxmlformats.org/officeDocument/2006/relationships/hyperlink" Target="https://www.systeal.com/fr/pignons-et-courroies/1890-2205-pignon-pour-courroie-gt2-6mm.html" TargetMode="External"/><Relationship Id="rId13" Type="http://schemas.openxmlformats.org/officeDocument/2006/relationships/hyperlink" Target="https://www.systeal.com/fr/accouplements/1570-accouplement-a-machoire-pour-couple-eleve-635mm-x-8-mm.html" TargetMode="External"/><Relationship Id="rId12" Type="http://schemas.openxmlformats.org/officeDocument/2006/relationships/hyperlink" Target="https://www.systeal.com/fr/guidage-lineaire-sur-arbre-de-precision/1885-2192-unite-de-roulement-lineaire.html" TargetMode="External"/><Relationship Id="rId1" Type="http://schemas.openxmlformats.org/officeDocument/2006/relationships/hyperlink" Target="https://www.gotronic.fr/art-moteur-17hs19-2004s1-18355.htm" TargetMode="External"/><Relationship Id="rId2" Type="http://schemas.openxmlformats.org/officeDocument/2006/relationships/hyperlink" Target="https://www.lextronic.fr/courroie-5-m-ouverte-78561.html?fast_search=fs" TargetMode="External"/><Relationship Id="rId3" Type="http://schemas.openxmlformats.org/officeDocument/2006/relationships/hyperlink" Target="https://www.lextronic.fr/mini-servomoteur-feetech-ft90b-faible-tension-77915.html" TargetMode="External"/><Relationship Id="rId4" Type="http://schemas.openxmlformats.org/officeDocument/2006/relationships/hyperlink" Target="https://www.lextronic.fr/arduino-r4-minima-76817.html" TargetMode="External"/><Relationship Id="rId9" Type="http://schemas.openxmlformats.org/officeDocument/2006/relationships/hyperlink" Target="https://www.systeal.com/fr/pignons-et-courroies/1893-poulie-pour-courroie-gt2-largeur-6-mm.html" TargetMode="External"/><Relationship Id="rId15" Type="http://schemas.openxmlformats.org/officeDocument/2006/relationships/hyperlink" Target="https://www.systeal.com/fr/vis-ecrous-m5/1347-ecrou-frein-m5.html" TargetMode="External"/><Relationship Id="rId14" Type="http://schemas.openxmlformats.org/officeDocument/2006/relationships/hyperlink" Target="https://www.systeal.com/fr/visserie-et-divers/1407-lot-de-10-vis-chc-tete-basse-m5x12.html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lextronic.fr/shield-cnc-pour-arduino-ard-cnc-kit1-78058.html" TargetMode="External"/><Relationship Id="rId6" Type="http://schemas.openxmlformats.org/officeDocument/2006/relationships/hyperlink" Target="https://www.lextronic.fr/micro-switch-microrupteur-a-levier-avec-roulette-10a-wen10184-3127.html" TargetMode="External"/><Relationship Id="rId7" Type="http://schemas.openxmlformats.org/officeDocument/2006/relationships/hyperlink" Target="https://fr.rs-online.com/web/p/roulements-a-billes/6189913?gb=s" TargetMode="External"/><Relationship Id="rId8" Type="http://schemas.openxmlformats.org/officeDocument/2006/relationships/hyperlink" Target="https://www.systeal.com/fr/profiles-aluminium-6-mm/1670-profile-aluminium-20x20-fente-6-mm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" TargetMode="External"/><Relationship Id="rId10" Type="http://schemas.openxmlformats.org/officeDocument/2006/relationships/hyperlink" Target="https://www.hexadrone.fr/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lextronic.fr/" TargetMode="External"/><Relationship Id="rId1" Type="http://schemas.openxmlformats.org/officeDocument/2006/relationships/hyperlink" Target="https://fr.rs-online.com/web/" TargetMode="External"/><Relationship Id="rId2" Type="http://schemas.openxmlformats.org/officeDocument/2006/relationships/hyperlink" Target="https://fr.farnell.com/" TargetMode="External"/><Relationship Id="rId3" Type="http://schemas.openxmlformats.org/officeDocument/2006/relationships/hyperlink" Target="https://www.foussier.fr/" TargetMode="External"/><Relationship Id="rId4" Type="http://schemas.openxmlformats.org/officeDocument/2006/relationships/hyperlink" Target="https://www.systeal.com/fr/" TargetMode="External"/><Relationship Id="rId9" Type="http://schemas.openxmlformats.org/officeDocument/2006/relationships/hyperlink" Target="https://www.cogibot.com/" TargetMode="External"/><Relationship Id="rId5" Type="http://schemas.openxmlformats.org/officeDocument/2006/relationships/hyperlink" Target="https://eshop.wurth.fr/" TargetMode="External"/><Relationship Id="rId6" Type="http://schemas.openxmlformats.org/officeDocument/2006/relationships/hyperlink" Target="https://www.makershop.fr/" TargetMode="External"/><Relationship Id="rId7" Type="http://schemas.openxmlformats.org/officeDocument/2006/relationships/hyperlink" Target="https://eu.robotshop.com/fr" TargetMode="External"/><Relationship Id="rId8" Type="http://schemas.openxmlformats.org/officeDocument/2006/relationships/hyperlink" Target="https://www.generationrobots.com/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50.38"/>
    <col customWidth="1" min="4" max="4" width="47.88"/>
    <col customWidth="1" min="5" max="5" width="38.88"/>
    <col customWidth="1" min="6" max="6" width="17.38"/>
    <col customWidth="1" min="7" max="7" width="16.63"/>
    <col customWidth="1" min="11" max="11" width="109.25"/>
  </cols>
  <sheetData>
    <row r="1">
      <c r="A1" s="1" t="s">
        <v>0</v>
      </c>
      <c r="B1" s="1" t="s">
        <v>1</v>
      </c>
    </row>
    <row r="2">
      <c r="B2" s="3" t="s">
        <v>3</v>
      </c>
    </row>
    <row r="3">
      <c r="B3" s="5" t="s">
        <v>5</v>
      </c>
    </row>
    <row r="4">
      <c r="B4" s="8" t="s">
        <v>7</v>
      </c>
      <c r="E4" s="9" t="s">
        <v>8</v>
      </c>
      <c r="F4" s="10" t="s">
        <v>15</v>
      </c>
      <c r="G4" s="12" t="s">
        <v>18</v>
      </c>
      <c r="H4" s="16" t="s">
        <v>14</v>
      </c>
      <c r="I4" s="18" t="s">
        <v>25</v>
      </c>
      <c r="J4" s="20" t="s">
        <v>20</v>
      </c>
      <c r="K4" s="6" t="s">
        <v>23</v>
      </c>
    </row>
    <row r="5">
      <c r="B5" s="22" t="s">
        <v>28</v>
      </c>
      <c r="D5" s="7" t="s">
        <v>31</v>
      </c>
      <c r="E5" s="6"/>
      <c r="F5" s="23"/>
      <c r="G5" s="6"/>
      <c r="H5" s="6"/>
      <c r="I5" s="28"/>
      <c r="J5" s="28"/>
    </row>
    <row r="6">
      <c r="B6" s="30" t="s">
        <v>47</v>
      </c>
      <c r="D6" s="32" t="s">
        <v>52</v>
      </c>
      <c r="E6" s="9" t="s">
        <v>55</v>
      </c>
      <c r="F6" s="34" t="s">
        <v>51</v>
      </c>
      <c r="G6" s="12">
        <v>16.0</v>
      </c>
      <c r="H6" s="16">
        <v>1.0</v>
      </c>
      <c r="I6" s="29">
        <v>0.0</v>
      </c>
      <c r="J6" s="33">
        <f t="shared" ref="J6:J13" si="1">H6*I6</f>
        <v>0</v>
      </c>
    </row>
    <row r="7">
      <c r="D7" s="32" t="s">
        <v>73</v>
      </c>
      <c r="E7" s="9" t="s">
        <v>55</v>
      </c>
      <c r="F7" s="34" t="s">
        <v>51</v>
      </c>
      <c r="G7" s="12">
        <v>48.0</v>
      </c>
      <c r="H7" s="16">
        <v>4.0</v>
      </c>
      <c r="I7" s="29">
        <v>0.0</v>
      </c>
      <c r="J7" s="33">
        <f t="shared" si="1"/>
        <v>0</v>
      </c>
    </row>
    <row r="8">
      <c r="D8" s="32" t="s">
        <v>74</v>
      </c>
      <c r="E8" s="9" t="s">
        <v>55</v>
      </c>
      <c r="F8" s="34" t="s">
        <v>51</v>
      </c>
      <c r="G8" s="12">
        <v>80.0</v>
      </c>
      <c r="H8" s="16">
        <v>1.0</v>
      </c>
      <c r="I8" s="29">
        <v>0.0</v>
      </c>
      <c r="J8" s="33">
        <f t="shared" si="1"/>
        <v>0</v>
      </c>
    </row>
    <row r="9">
      <c r="D9" s="32" t="s">
        <v>76</v>
      </c>
      <c r="E9" s="9" t="s">
        <v>55</v>
      </c>
      <c r="F9" s="34" t="s">
        <v>51</v>
      </c>
      <c r="G9" s="12">
        <v>96.0</v>
      </c>
      <c r="H9" s="16">
        <v>4.0</v>
      </c>
      <c r="I9" s="29">
        <v>0.0</v>
      </c>
      <c r="J9" s="33">
        <f t="shared" si="1"/>
        <v>0</v>
      </c>
    </row>
    <row r="10">
      <c r="D10" s="32" t="s">
        <v>80</v>
      </c>
      <c r="E10" s="9" t="s">
        <v>55</v>
      </c>
      <c r="F10" s="34" t="s">
        <v>51</v>
      </c>
      <c r="G10" s="12">
        <v>112.0</v>
      </c>
      <c r="H10" s="16">
        <v>2.0</v>
      </c>
      <c r="I10" s="29">
        <v>0.0</v>
      </c>
      <c r="J10" s="33">
        <f t="shared" si="1"/>
        <v>0</v>
      </c>
    </row>
    <row r="11">
      <c r="D11" s="8" t="s">
        <v>83</v>
      </c>
      <c r="E11" s="9" t="s">
        <v>33</v>
      </c>
      <c r="F11" s="10" t="s">
        <v>51</v>
      </c>
      <c r="G11" s="12">
        <v>496.0</v>
      </c>
      <c r="H11" s="16">
        <v>2.0</v>
      </c>
      <c r="I11" s="29">
        <v>4.7</v>
      </c>
      <c r="J11" s="33">
        <f t="shared" si="1"/>
        <v>9.4</v>
      </c>
      <c r="K11" s="25" t="s">
        <v>87</v>
      </c>
    </row>
    <row r="12">
      <c r="D12" s="32" t="s">
        <v>97</v>
      </c>
      <c r="E12" s="9" t="s">
        <v>33</v>
      </c>
      <c r="F12" s="10" t="s">
        <v>66</v>
      </c>
      <c r="G12" s="12">
        <v>80.0</v>
      </c>
      <c r="H12" s="16">
        <v>1.0</v>
      </c>
      <c r="I12" s="29">
        <v>0.0</v>
      </c>
      <c r="J12" s="33">
        <f t="shared" si="1"/>
        <v>0</v>
      </c>
    </row>
    <row r="13">
      <c r="D13" s="8" t="s">
        <v>99</v>
      </c>
      <c r="E13" s="9" t="s">
        <v>33</v>
      </c>
      <c r="F13" s="34" t="s">
        <v>86</v>
      </c>
      <c r="G13" s="12">
        <v>504.0</v>
      </c>
      <c r="H13" s="16">
        <v>2.0</v>
      </c>
      <c r="I13" s="29">
        <v>4.78</v>
      </c>
      <c r="J13" s="33">
        <f t="shared" si="1"/>
        <v>9.56</v>
      </c>
      <c r="K13" s="14" t="s">
        <v>87</v>
      </c>
    </row>
    <row r="14">
      <c r="D14" s="7" t="s">
        <v>101</v>
      </c>
      <c r="H14" s="6"/>
      <c r="I14" s="28"/>
      <c r="J14" s="45"/>
    </row>
    <row r="15" ht="227.25" customHeight="1">
      <c r="C15" s="39"/>
      <c r="D15" s="32" t="s">
        <v>103</v>
      </c>
      <c r="E15" s="9" t="s">
        <v>104</v>
      </c>
      <c r="F15" s="27"/>
      <c r="G15" s="21"/>
      <c r="H15" s="16">
        <v>2.0</v>
      </c>
      <c r="I15" s="29">
        <v>0.0</v>
      </c>
      <c r="J15" s="33">
        <f t="shared" ref="J15:J22" si="2">H15*I15</f>
        <v>0</v>
      </c>
    </row>
    <row r="16" ht="167.25" customHeight="1">
      <c r="C16" s="6" t="s">
        <v>106</v>
      </c>
      <c r="D16" s="32" t="s">
        <v>107</v>
      </c>
      <c r="E16" s="9" t="s">
        <v>108</v>
      </c>
      <c r="F16" s="27"/>
      <c r="G16" s="21"/>
      <c r="H16" s="16">
        <v>5.0</v>
      </c>
      <c r="I16" s="29">
        <v>0.0</v>
      </c>
      <c r="J16" s="33">
        <f t="shared" si="2"/>
        <v>0</v>
      </c>
    </row>
    <row r="17" ht="178.5" customHeight="1">
      <c r="C17" s="39"/>
      <c r="D17" s="32" t="s">
        <v>110</v>
      </c>
      <c r="E17" s="9" t="s">
        <v>111</v>
      </c>
      <c r="F17" s="27"/>
      <c r="G17" s="21"/>
      <c r="H17" s="16">
        <v>5.0</v>
      </c>
      <c r="I17" s="29">
        <v>0.0</v>
      </c>
      <c r="J17" s="33">
        <f t="shared" si="2"/>
        <v>0</v>
      </c>
    </row>
    <row r="18" ht="122.25" customHeight="1">
      <c r="C18" s="39"/>
      <c r="D18" s="3" t="s">
        <v>112</v>
      </c>
      <c r="E18" s="9" t="s">
        <v>113</v>
      </c>
      <c r="F18" s="27"/>
      <c r="G18" s="21"/>
      <c r="H18" s="16">
        <v>3.0</v>
      </c>
      <c r="I18" s="29">
        <v>0.0</v>
      </c>
      <c r="J18" s="33">
        <f t="shared" si="2"/>
        <v>0</v>
      </c>
    </row>
    <row r="19" ht="129.75" customHeight="1">
      <c r="C19" s="39"/>
      <c r="D19" s="3" t="s">
        <v>114</v>
      </c>
      <c r="E19" s="9" t="s">
        <v>115</v>
      </c>
      <c r="F19" s="27"/>
      <c r="G19" s="21"/>
      <c r="H19" s="16">
        <v>2.0</v>
      </c>
      <c r="I19" s="29">
        <v>0.0</v>
      </c>
      <c r="J19" s="33">
        <f t="shared" si="2"/>
        <v>0</v>
      </c>
    </row>
    <row r="20" ht="105.0" customHeight="1">
      <c r="A20" s="44"/>
      <c r="B20" s="44"/>
      <c r="C20" s="44"/>
      <c r="D20" s="47" t="s">
        <v>116</v>
      </c>
      <c r="E20" s="11"/>
      <c r="F20" s="13"/>
      <c r="G20" s="15"/>
      <c r="H20" s="35">
        <v>1.0</v>
      </c>
      <c r="I20" s="19">
        <v>0.0</v>
      </c>
      <c r="J20" s="33">
        <f t="shared" si="2"/>
        <v>0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89.25" customHeight="1">
      <c r="A21" s="44"/>
      <c r="B21" s="44"/>
      <c r="C21" s="44"/>
      <c r="D21" s="47" t="s">
        <v>118</v>
      </c>
      <c r="E21" s="40" t="s">
        <v>119</v>
      </c>
      <c r="F21" s="13"/>
      <c r="G21" s="15"/>
      <c r="H21" s="35">
        <v>4.0</v>
      </c>
      <c r="I21" s="19">
        <v>0.0</v>
      </c>
      <c r="J21" s="33">
        <f t="shared" si="2"/>
        <v>0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82.25" customHeight="1">
      <c r="A22" s="44"/>
      <c r="B22" s="44"/>
      <c r="C22" s="44"/>
      <c r="D22" s="47" t="s">
        <v>120</v>
      </c>
      <c r="E22" s="40" t="s">
        <v>121</v>
      </c>
      <c r="F22" s="13"/>
      <c r="G22" s="15"/>
      <c r="H22" s="35">
        <v>1.0</v>
      </c>
      <c r="I22" s="19">
        <v>0.0</v>
      </c>
      <c r="J22" s="33">
        <f t="shared" si="2"/>
        <v>0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D23" s="7" t="s">
        <v>122</v>
      </c>
      <c r="H23" s="6"/>
      <c r="I23" s="28"/>
      <c r="J23" s="45"/>
    </row>
    <row r="24">
      <c r="D24" s="1" t="s">
        <v>123</v>
      </c>
      <c r="E24" s="9" t="s">
        <v>35</v>
      </c>
      <c r="F24" s="27"/>
      <c r="G24" s="12">
        <v>5.0</v>
      </c>
      <c r="H24" s="16">
        <v>3.0</v>
      </c>
      <c r="I24" s="29">
        <v>3.48</v>
      </c>
      <c r="J24" s="33">
        <f>H24*I24</f>
        <v>10.44</v>
      </c>
      <c r="K24" s="14" t="s">
        <v>125</v>
      </c>
    </row>
    <row r="25">
      <c r="D25" s="1"/>
      <c r="E25" s="26" t="s">
        <v>126</v>
      </c>
      <c r="F25" s="27"/>
      <c r="G25" s="12"/>
      <c r="H25" s="16"/>
      <c r="I25" s="29">
        <v>2.9</v>
      </c>
      <c r="J25" s="33">
        <f>H33*I25</f>
        <v>5.8</v>
      </c>
      <c r="K25" s="14" t="s">
        <v>127</v>
      </c>
    </row>
    <row r="26">
      <c r="D26" s="1" t="s">
        <v>129</v>
      </c>
      <c r="E26" s="9" t="s">
        <v>39</v>
      </c>
      <c r="F26" s="27"/>
      <c r="G26" s="12">
        <v>1300.0</v>
      </c>
      <c r="H26" s="16">
        <v>3.0</v>
      </c>
      <c r="I26" s="29">
        <v>3.48</v>
      </c>
      <c r="J26" s="33">
        <f t="shared" ref="J26:J35" si="3">H26*I26</f>
        <v>10.44</v>
      </c>
      <c r="K26" s="14" t="s">
        <v>100</v>
      </c>
    </row>
    <row r="27">
      <c r="D27" s="1" t="s">
        <v>132</v>
      </c>
      <c r="E27" s="9" t="s">
        <v>40</v>
      </c>
      <c r="F27" s="10" t="s">
        <v>133</v>
      </c>
      <c r="G27" s="12">
        <v>56.0</v>
      </c>
      <c r="H27" s="16">
        <v>2.0</v>
      </c>
      <c r="I27" s="29">
        <v>16.56</v>
      </c>
      <c r="J27" s="33">
        <f t="shared" si="3"/>
        <v>33.12</v>
      </c>
      <c r="K27" s="25" t="s">
        <v>134</v>
      </c>
    </row>
    <row r="28">
      <c r="D28" s="1" t="s">
        <v>135</v>
      </c>
      <c r="E28" s="9" t="s">
        <v>40</v>
      </c>
      <c r="F28" s="10" t="s">
        <v>136</v>
      </c>
      <c r="G28" s="12">
        <v>496.0</v>
      </c>
      <c r="H28" s="16">
        <v>4.0</v>
      </c>
      <c r="I28" s="29">
        <v>0.0</v>
      </c>
      <c r="J28" s="33">
        <f t="shared" si="3"/>
        <v>0</v>
      </c>
      <c r="K28" s="25" t="s">
        <v>134</v>
      </c>
    </row>
    <row r="29">
      <c r="D29" s="1" t="s">
        <v>137</v>
      </c>
      <c r="E29" s="9" t="s">
        <v>41</v>
      </c>
      <c r="F29" s="10" t="s">
        <v>136</v>
      </c>
      <c r="G29" s="12"/>
      <c r="H29" s="16">
        <v>6.0</v>
      </c>
      <c r="I29" s="29">
        <v>2.29</v>
      </c>
      <c r="J29" s="33">
        <f t="shared" si="3"/>
        <v>13.74</v>
      </c>
      <c r="K29" s="14" t="s">
        <v>138</v>
      </c>
    </row>
    <row r="30">
      <c r="D30" s="3" t="s">
        <v>141</v>
      </c>
      <c r="E30" s="26" t="s">
        <v>142</v>
      </c>
      <c r="F30" s="10" t="s">
        <v>133</v>
      </c>
      <c r="G30" s="12">
        <v>39.0</v>
      </c>
      <c r="H30" s="16">
        <v>1.0</v>
      </c>
      <c r="I30" s="48"/>
      <c r="J30" s="33">
        <f t="shared" si="3"/>
        <v>0</v>
      </c>
      <c r="K30" s="6"/>
    </row>
    <row r="31">
      <c r="D31" s="30" t="s">
        <v>143</v>
      </c>
      <c r="E31" s="9" t="s">
        <v>144</v>
      </c>
      <c r="F31" s="10">
        <v>4.0</v>
      </c>
      <c r="G31" s="21"/>
      <c r="H31" s="16">
        <v>10.0</v>
      </c>
      <c r="I31" s="48"/>
      <c r="J31" s="33">
        <f t="shared" si="3"/>
        <v>0</v>
      </c>
      <c r="K31" s="23"/>
    </row>
    <row r="32">
      <c r="D32" s="1" t="s">
        <v>145</v>
      </c>
      <c r="E32" s="9" t="s">
        <v>42</v>
      </c>
      <c r="F32" s="10">
        <v>4.0</v>
      </c>
      <c r="G32" s="21"/>
      <c r="H32" s="16">
        <v>1.0</v>
      </c>
      <c r="I32" s="48"/>
      <c r="J32" s="33">
        <f t="shared" si="3"/>
        <v>0</v>
      </c>
    </row>
    <row r="33">
      <c r="D33" s="1" t="s">
        <v>146</v>
      </c>
      <c r="E33" s="9" t="s">
        <v>32</v>
      </c>
      <c r="F33" s="27"/>
      <c r="G33" s="21"/>
      <c r="H33" s="16">
        <v>2.0</v>
      </c>
      <c r="I33" s="29">
        <v>2.23</v>
      </c>
      <c r="J33" s="49">
        <f t="shared" si="3"/>
        <v>4.46</v>
      </c>
      <c r="K33" s="25" t="s">
        <v>140</v>
      </c>
    </row>
    <row r="34">
      <c r="D34" s="1" t="s">
        <v>148</v>
      </c>
      <c r="E34" s="9" t="s">
        <v>40</v>
      </c>
      <c r="F34" s="10" t="s">
        <v>133</v>
      </c>
      <c r="G34" s="12">
        <v>512.0</v>
      </c>
      <c r="H34" s="16">
        <v>1.0</v>
      </c>
      <c r="I34" s="29">
        <v>0.0</v>
      </c>
      <c r="J34" s="33">
        <f t="shared" si="3"/>
        <v>0</v>
      </c>
    </row>
    <row r="35">
      <c r="D35" s="1" t="s">
        <v>149</v>
      </c>
      <c r="E35" s="9" t="s">
        <v>40</v>
      </c>
      <c r="F35" s="10" t="s">
        <v>133</v>
      </c>
      <c r="G35" s="12">
        <v>80.0</v>
      </c>
      <c r="H35" s="16">
        <v>1.0</v>
      </c>
      <c r="I35" s="29">
        <v>0.0</v>
      </c>
      <c r="J35" s="33">
        <f t="shared" si="3"/>
        <v>0</v>
      </c>
    </row>
    <row r="36">
      <c r="D36" s="7" t="s">
        <v>150</v>
      </c>
      <c r="E36" s="6"/>
      <c r="F36" s="6"/>
      <c r="H36" s="6"/>
      <c r="I36" s="28"/>
      <c r="J36" s="45"/>
    </row>
    <row r="37">
      <c r="D37" s="5" t="s">
        <v>151</v>
      </c>
      <c r="E37" s="9" t="s">
        <v>152</v>
      </c>
      <c r="F37" s="10" t="s">
        <v>153</v>
      </c>
      <c r="G37" s="21"/>
      <c r="H37" s="16">
        <v>50.0</v>
      </c>
      <c r="I37" s="29"/>
      <c r="J37" s="33">
        <f t="shared" ref="J37:J50" si="4">H37*I37</f>
        <v>0</v>
      </c>
    </row>
    <row r="38">
      <c r="D38" s="5" t="s">
        <v>154</v>
      </c>
      <c r="E38" s="9" t="s">
        <v>155</v>
      </c>
      <c r="F38" s="10" t="s">
        <v>156</v>
      </c>
      <c r="G38" s="12">
        <v>8.0</v>
      </c>
      <c r="H38" s="16">
        <v>10.0</v>
      </c>
      <c r="I38" s="48"/>
      <c r="J38" s="33">
        <f t="shared" si="4"/>
        <v>0</v>
      </c>
    </row>
    <row r="39">
      <c r="D39" s="5" t="s">
        <v>157</v>
      </c>
      <c r="E39" s="9" t="s">
        <v>158</v>
      </c>
      <c r="F39" s="10" t="s">
        <v>156</v>
      </c>
      <c r="G39" s="12">
        <v>5.0</v>
      </c>
      <c r="H39" s="16">
        <v>26.0</v>
      </c>
      <c r="I39" s="48"/>
      <c r="J39" s="33">
        <f t="shared" si="4"/>
        <v>0</v>
      </c>
    </row>
    <row r="40">
      <c r="D40" s="5" t="s">
        <v>159</v>
      </c>
      <c r="E40" s="9" t="s">
        <v>160</v>
      </c>
      <c r="F40" s="27"/>
      <c r="G40" s="21"/>
      <c r="H40" s="16">
        <v>16.0</v>
      </c>
      <c r="I40" s="48"/>
      <c r="J40" s="33">
        <f t="shared" si="4"/>
        <v>0</v>
      </c>
    </row>
    <row r="41">
      <c r="D41" s="5" t="s">
        <v>161</v>
      </c>
      <c r="E41" s="9" t="s">
        <v>162</v>
      </c>
      <c r="F41" s="27"/>
      <c r="G41" s="21"/>
      <c r="H41" s="16">
        <v>6.0</v>
      </c>
      <c r="I41" s="48"/>
      <c r="J41" s="33">
        <f t="shared" si="4"/>
        <v>0</v>
      </c>
    </row>
    <row r="42">
      <c r="D42" s="5" t="s">
        <v>163</v>
      </c>
      <c r="E42" s="9" t="s">
        <v>164</v>
      </c>
      <c r="F42" s="27"/>
      <c r="G42" s="21"/>
      <c r="H42" s="16">
        <v>20.0</v>
      </c>
      <c r="I42" s="48"/>
      <c r="J42" s="33">
        <f t="shared" si="4"/>
        <v>0</v>
      </c>
    </row>
    <row r="43">
      <c r="D43" s="5" t="s">
        <v>165</v>
      </c>
      <c r="E43" s="51"/>
      <c r="F43" s="10" t="s">
        <v>166</v>
      </c>
      <c r="G43" s="21"/>
      <c r="H43" s="16">
        <v>3.0</v>
      </c>
      <c r="I43" s="48"/>
      <c r="J43" s="33">
        <f t="shared" si="4"/>
        <v>0</v>
      </c>
    </row>
    <row r="44">
      <c r="D44" s="5" t="s">
        <v>167</v>
      </c>
      <c r="E44" s="26" t="s">
        <v>168</v>
      </c>
      <c r="F44" s="10" t="s">
        <v>153</v>
      </c>
      <c r="G44" s="12">
        <v>14.0</v>
      </c>
      <c r="H44" s="16">
        <v>30.0</v>
      </c>
      <c r="I44" s="48"/>
      <c r="J44" s="33">
        <f t="shared" si="4"/>
        <v>0</v>
      </c>
    </row>
    <row r="45">
      <c r="D45" s="5" t="s">
        <v>169</v>
      </c>
      <c r="E45" s="26" t="s">
        <v>168</v>
      </c>
      <c r="F45" s="10" t="s">
        <v>153</v>
      </c>
      <c r="G45" s="12">
        <v>16.0</v>
      </c>
      <c r="H45" s="16">
        <v>28.0</v>
      </c>
      <c r="I45" s="48"/>
      <c r="J45" s="33">
        <f t="shared" si="4"/>
        <v>0</v>
      </c>
    </row>
    <row r="46">
      <c r="D46" s="5" t="s">
        <v>170</v>
      </c>
      <c r="E46" s="26" t="s">
        <v>168</v>
      </c>
      <c r="F46" s="10" t="s">
        <v>153</v>
      </c>
      <c r="G46" s="12">
        <v>22.0</v>
      </c>
      <c r="H46" s="16">
        <v>12.0</v>
      </c>
      <c r="I46" s="48"/>
      <c r="J46" s="33">
        <f t="shared" si="4"/>
        <v>0</v>
      </c>
    </row>
    <row r="47">
      <c r="D47" s="5" t="s">
        <v>171</v>
      </c>
      <c r="E47" s="26" t="s">
        <v>168</v>
      </c>
      <c r="F47" s="10" t="s">
        <v>153</v>
      </c>
      <c r="G47" s="12">
        <v>30.0</v>
      </c>
      <c r="H47" s="16">
        <v>18.0</v>
      </c>
      <c r="I47" s="48"/>
      <c r="J47" s="33">
        <f t="shared" si="4"/>
        <v>0</v>
      </c>
    </row>
    <row r="48">
      <c r="D48" s="5" t="s">
        <v>172</v>
      </c>
      <c r="E48" s="26" t="s">
        <v>168</v>
      </c>
      <c r="F48" s="10" t="s">
        <v>153</v>
      </c>
      <c r="G48" s="12">
        <v>8.0</v>
      </c>
      <c r="H48" s="16">
        <v>36.0</v>
      </c>
      <c r="I48" s="48"/>
      <c r="J48" s="33">
        <f t="shared" si="4"/>
        <v>0</v>
      </c>
    </row>
    <row r="49">
      <c r="C49" s="6"/>
      <c r="D49" s="5" t="s">
        <v>173</v>
      </c>
      <c r="E49" s="9" t="s">
        <v>174</v>
      </c>
      <c r="F49" s="27"/>
      <c r="G49" s="21"/>
      <c r="H49" s="16">
        <v>10.0</v>
      </c>
      <c r="I49" s="48"/>
      <c r="J49" s="33">
        <f t="shared" si="4"/>
        <v>0</v>
      </c>
    </row>
    <row r="50">
      <c r="C50" s="6"/>
      <c r="D50" s="3" t="s">
        <v>175</v>
      </c>
      <c r="E50" s="9" t="s">
        <v>176</v>
      </c>
      <c r="F50" s="27"/>
      <c r="G50" s="21"/>
      <c r="H50" s="16">
        <v>6.0</v>
      </c>
      <c r="I50" s="29">
        <v>0.0</v>
      </c>
      <c r="J50" s="33">
        <f t="shared" si="4"/>
        <v>0</v>
      </c>
    </row>
    <row r="51">
      <c r="C51" s="6"/>
      <c r="D51" s="7" t="s">
        <v>177</v>
      </c>
      <c r="E51" s="6"/>
      <c r="F51" s="6"/>
      <c r="G51" s="6"/>
      <c r="H51" s="6"/>
      <c r="I51" s="28"/>
      <c r="J51" s="45"/>
    </row>
    <row r="52">
      <c r="C52" s="6"/>
      <c r="D52" s="52" t="s">
        <v>179</v>
      </c>
      <c r="E52" s="9" t="s">
        <v>180</v>
      </c>
      <c r="F52" s="10" t="s">
        <v>181</v>
      </c>
      <c r="G52" s="12" t="s">
        <v>182</v>
      </c>
      <c r="H52" s="16">
        <v>30.0</v>
      </c>
      <c r="I52" s="48"/>
      <c r="J52" s="33">
        <f t="shared" ref="J52:J53" si="5">H52*I52</f>
        <v>0</v>
      </c>
    </row>
    <row r="53">
      <c r="D53" s="52" t="s">
        <v>183</v>
      </c>
      <c r="E53" s="9" t="s">
        <v>184</v>
      </c>
      <c r="F53" s="27"/>
      <c r="G53" s="21"/>
      <c r="H53" s="16">
        <v>5.0</v>
      </c>
      <c r="I53" s="48"/>
      <c r="J53" s="33">
        <f t="shared" si="5"/>
        <v>0</v>
      </c>
    </row>
    <row r="54">
      <c r="A54" s="44"/>
      <c r="B54" s="44"/>
      <c r="C54" s="44"/>
      <c r="D54" s="53" t="s">
        <v>185</v>
      </c>
      <c r="E54" s="44"/>
      <c r="F54" s="44"/>
      <c r="G54" s="44"/>
      <c r="H54" s="44"/>
      <c r="I54" s="54"/>
      <c r="J54" s="45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44"/>
      <c r="B55" s="44"/>
      <c r="C55" s="44"/>
      <c r="D55" s="55" t="s">
        <v>186</v>
      </c>
      <c r="E55" s="40" t="s">
        <v>187</v>
      </c>
      <c r="F55" s="13"/>
      <c r="G55" s="15"/>
      <c r="H55" s="17">
        <v>1.0</v>
      </c>
      <c r="I55" s="56"/>
      <c r="J55" s="33">
        <f t="shared" ref="J55:J65" si="6">H55*I55</f>
        <v>0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44"/>
      <c r="B56" s="44"/>
      <c r="C56" s="25" t="s">
        <v>67</v>
      </c>
      <c r="D56" s="57" t="s">
        <v>189</v>
      </c>
      <c r="E56" s="11" t="s">
        <v>21</v>
      </c>
      <c r="F56" s="13"/>
      <c r="G56" s="15"/>
      <c r="H56" s="17">
        <v>2.0</v>
      </c>
      <c r="I56" s="19">
        <v>19.5</v>
      </c>
      <c r="J56" s="33">
        <f t="shared" si="6"/>
        <v>39</v>
      </c>
      <c r="K56" s="59" t="s">
        <v>190</v>
      </c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C57" s="6" t="s">
        <v>192</v>
      </c>
      <c r="D57" s="5" t="s">
        <v>193</v>
      </c>
      <c r="E57" s="9" t="s">
        <v>194</v>
      </c>
      <c r="F57" s="10"/>
      <c r="G57" s="21"/>
      <c r="H57" s="16">
        <v>1.0</v>
      </c>
      <c r="I57" s="29"/>
      <c r="J57" s="33">
        <f t="shared" si="6"/>
        <v>0</v>
      </c>
    </row>
    <row r="58">
      <c r="C58" s="6" t="s">
        <v>195</v>
      </c>
      <c r="D58" s="5" t="s">
        <v>196</v>
      </c>
      <c r="E58" s="9" t="s">
        <v>197</v>
      </c>
      <c r="F58" s="10"/>
      <c r="G58" s="21"/>
      <c r="H58" s="16">
        <v>2.0</v>
      </c>
      <c r="I58" s="29"/>
      <c r="J58" s="33">
        <f t="shared" si="6"/>
        <v>0</v>
      </c>
    </row>
    <row r="59">
      <c r="D59" s="5" t="s">
        <v>198</v>
      </c>
      <c r="E59" s="9" t="s">
        <v>199</v>
      </c>
      <c r="F59" s="10"/>
      <c r="G59" s="21"/>
      <c r="H59" s="16">
        <v>3.0</v>
      </c>
      <c r="I59" s="29"/>
      <c r="J59" s="33">
        <f t="shared" si="6"/>
        <v>0</v>
      </c>
    </row>
    <row r="60">
      <c r="D60" s="5" t="s">
        <v>200</v>
      </c>
      <c r="E60" s="9" t="s">
        <v>201</v>
      </c>
      <c r="F60" s="10"/>
      <c r="G60" s="21"/>
      <c r="H60" s="16">
        <v>1.0</v>
      </c>
      <c r="I60" s="29"/>
      <c r="J60" s="33">
        <f t="shared" si="6"/>
        <v>0</v>
      </c>
    </row>
    <row r="61">
      <c r="D61" s="1" t="s">
        <v>202</v>
      </c>
      <c r="E61" s="9" t="s">
        <v>130</v>
      </c>
      <c r="F61" s="10"/>
      <c r="G61" s="21"/>
      <c r="H61" s="16">
        <v>4.0</v>
      </c>
      <c r="I61" s="29"/>
      <c r="J61" s="33">
        <f t="shared" si="6"/>
        <v>0</v>
      </c>
    </row>
    <row r="62">
      <c r="D62" s="5" t="s">
        <v>203</v>
      </c>
      <c r="E62" s="9" t="s">
        <v>204</v>
      </c>
      <c r="F62" s="10"/>
      <c r="G62" s="12">
        <v>200.0</v>
      </c>
      <c r="H62" s="16">
        <v>2.0</v>
      </c>
      <c r="I62" s="29"/>
      <c r="J62" s="33">
        <f t="shared" si="6"/>
        <v>0</v>
      </c>
    </row>
    <row r="63">
      <c r="D63" s="5" t="s">
        <v>206</v>
      </c>
      <c r="E63" s="9" t="s">
        <v>207</v>
      </c>
      <c r="F63" s="10"/>
      <c r="G63" s="12">
        <v>350.0</v>
      </c>
      <c r="H63" s="16">
        <v>1.0</v>
      </c>
      <c r="I63" s="29"/>
      <c r="J63" s="33">
        <f t="shared" si="6"/>
        <v>0</v>
      </c>
    </row>
    <row r="64">
      <c r="D64" s="5" t="s">
        <v>208</v>
      </c>
      <c r="E64" s="9" t="s">
        <v>207</v>
      </c>
      <c r="F64" s="10"/>
      <c r="G64" s="12">
        <v>500.0</v>
      </c>
      <c r="H64" s="16">
        <v>2.0</v>
      </c>
      <c r="I64" s="29"/>
      <c r="J64" s="33">
        <f t="shared" si="6"/>
        <v>0</v>
      </c>
    </row>
    <row r="65">
      <c r="D65" s="5" t="s">
        <v>209</v>
      </c>
      <c r="E65" s="9" t="s">
        <v>210</v>
      </c>
      <c r="F65" s="10"/>
      <c r="G65" s="21"/>
      <c r="H65" s="16">
        <v>1.0</v>
      </c>
      <c r="I65" s="29"/>
      <c r="J65" s="33">
        <f t="shared" si="6"/>
        <v>0</v>
      </c>
    </row>
    <row r="67">
      <c r="I67" s="7" t="s">
        <v>211</v>
      </c>
      <c r="J67" s="61">
        <f>SUM(J5:J65)</f>
        <v>135.96</v>
      </c>
    </row>
    <row r="68">
      <c r="I68" s="62"/>
      <c r="J68" s="62"/>
    </row>
  </sheetData>
  <hyperlinks>
    <hyperlink r:id="rId1" ref="K11"/>
    <hyperlink r:id="rId2" ref="K13"/>
    <hyperlink r:id="rId3" ref="K24"/>
    <hyperlink r:id="rId4" ref="K25"/>
    <hyperlink r:id="rId5" ref="K26"/>
    <hyperlink r:id="rId6" ref="K27"/>
    <hyperlink r:id="rId7" ref="K28"/>
    <hyperlink r:id="rId8" location="/239-diametre_de_l_arbre-8_mm" ref="K29"/>
    <hyperlink r:id="rId9" ref="K33"/>
    <hyperlink r:id="rId10" ref="C56"/>
    <hyperlink r:id="rId11" ref="K56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88"/>
    <col customWidth="1" min="5" max="5" width="13.25"/>
    <col customWidth="1" min="6" max="6" width="14.38"/>
    <col customWidth="1" min="7" max="7" width="6.63"/>
    <col customWidth="1" min="8" max="8" width="10.5"/>
    <col customWidth="1" min="9" max="10" width="7.75"/>
    <col customWidth="1" min="11" max="11" width="6.5"/>
    <col customWidth="1" min="12" max="12" width="11.63"/>
    <col customWidth="1" min="13" max="13" width="107.38"/>
  </cols>
  <sheetData>
    <row r="2">
      <c r="M2" s="2" t="s">
        <v>2</v>
      </c>
    </row>
    <row r="6">
      <c r="B6" s="6"/>
      <c r="D6" s="6" t="s">
        <v>8</v>
      </c>
      <c r="E6" s="6" t="s">
        <v>10</v>
      </c>
      <c r="F6" s="6" t="s">
        <v>11</v>
      </c>
      <c r="G6" s="6" t="s">
        <v>14</v>
      </c>
      <c r="H6" s="6" t="s">
        <v>16</v>
      </c>
      <c r="I6" s="6" t="s">
        <v>17</v>
      </c>
      <c r="J6" s="6" t="s">
        <v>19</v>
      </c>
      <c r="K6" s="6" t="s">
        <v>20</v>
      </c>
      <c r="L6" s="6" t="s">
        <v>22</v>
      </c>
      <c r="M6" s="6" t="s">
        <v>23</v>
      </c>
    </row>
    <row r="7">
      <c r="C7" s="6"/>
      <c r="D7" s="11" t="s">
        <v>21</v>
      </c>
      <c r="E7" s="13"/>
      <c r="F7" s="15"/>
      <c r="G7" s="17">
        <v>2.0</v>
      </c>
      <c r="H7" s="19">
        <v>16.25</v>
      </c>
      <c r="I7" s="29">
        <f t="shared" ref="I7:I21" si="1">H7*1.2</f>
        <v>19.5</v>
      </c>
      <c r="J7" s="33">
        <f t="shared" ref="J7:J21" si="2">G7*H7</f>
        <v>32.5</v>
      </c>
      <c r="K7" s="33">
        <f t="shared" ref="K7:K21" si="3">G7*I7</f>
        <v>39</v>
      </c>
      <c r="L7" s="36" t="s">
        <v>63</v>
      </c>
      <c r="M7" s="43" t="s">
        <v>67</v>
      </c>
    </row>
    <row r="8">
      <c r="C8" s="1"/>
      <c r="D8" s="9" t="s">
        <v>39</v>
      </c>
      <c r="E8" s="27"/>
      <c r="F8" s="12">
        <v>5000.0</v>
      </c>
      <c r="G8" s="16">
        <v>1.0</v>
      </c>
      <c r="H8" s="29">
        <v>8.33</v>
      </c>
      <c r="I8" s="29">
        <f t="shared" si="1"/>
        <v>9.996</v>
      </c>
      <c r="J8" s="33">
        <f t="shared" si="2"/>
        <v>8.33</v>
      </c>
      <c r="K8" s="33">
        <f t="shared" si="3"/>
        <v>9.996</v>
      </c>
      <c r="L8" s="6" t="s">
        <v>98</v>
      </c>
      <c r="M8" s="46" t="s">
        <v>100</v>
      </c>
    </row>
    <row r="9">
      <c r="C9" s="6"/>
      <c r="D9" s="9" t="s">
        <v>26</v>
      </c>
      <c r="E9" s="10"/>
      <c r="F9" s="12"/>
      <c r="G9" s="16">
        <v>1.0</v>
      </c>
      <c r="H9" s="29">
        <v>4.13</v>
      </c>
      <c r="I9" s="29">
        <f t="shared" si="1"/>
        <v>4.956</v>
      </c>
      <c r="J9" s="33">
        <f t="shared" si="2"/>
        <v>4.13</v>
      </c>
      <c r="K9" s="33">
        <f t="shared" si="3"/>
        <v>4.956</v>
      </c>
      <c r="L9" s="6" t="s">
        <v>98</v>
      </c>
      <c r="M9" s="14" t="s">
        <v>117</v>
      </c>
    </row>
    <row r="10">
      <c r="C10" s="1"/>
      <c r="D10" s="9" t="s">
        <v>27</v>
      </c>
      <c r="E10" s="10"/>
      <c r="F10" s="21"/>
      <c r="G10" s="16">
        <v>1.0</v>
      </c>
      <c r="H10" s="29">
        <v>18.0</v>
      </c>
      <c r="I10" s="29">
        <f t="shared" si="1"/>
        <v>21.6</v>
      </c>
      <c r="J10" s="33">
        <f t="shared" si="2"/>
        <v>18</v>
      </c>
      <c r="K10" s="33">
        <f t="shared" si="3"/>
        <v>21.6</v>
      </c>
      <c r="L10" s="6" t="s">
        <v>98</v>
      </c>
      <c r="M10" s="25" t="s">
        <v>124</v>
      </c>
    </row>
    <row r="11">
      <c r="C11" s="6"/>
      <c r="D11" s="9" t="s">
        <v>29</v>
      </c>
      <c r="E11" s="10"/>
      <c r="F11" s="21"/>
      <c r="G11" s="16">
        <v>1.0</v>
      </c>
      <c r="H11" s="29">
        <v>16.0</v>
      </c>
      <c r="I11" s="29">
        <f t="shared" si="1"/>
        <v>19.2</v>
      </c>
      <c r="J11" s="33">
        <f t="shared" si="2"/>
        <v>16</v>
      </c>
      <c r="K11" s="33">
        <f t="shared" si="3"/>
        <v>19.2</v>
      </c>
      <c r="L11" s="6" t="s">
        <v>98</v>
      </c>
      <c r="M11" s="25" t="s">
        <v>128</v>
      </c>
    </row>
    <row r="12">
      <c r="C12" s="6"/>
      <c r="D12" s="9" t="s">
        <v>130</v>
      </c>
      <c r="E12" s="10"/>
      <c r="F12" s="21"/>
      <c r="G12" s="16">
        <v>4.0</v>
      </c>
      <c r="H12" s="29">
        <v>2.33</v>
      </c>
      <c r="I12" s="29">
        <f t="shared" si="1"/>
        <v>2.796</v>
      </c>
      <c r="J12" s="33">
        <f t="shared" si="2"/>
        <v>9.32</v>
      </c>
      <c r="K12" s="33">
        <f t="shared" si="3"/>
        <v>11.184</v>
      </c>
      <c r="L12" s="6" t="s">
        <v>98</v>
      </c>
      <c r="M12" s="14" t="s">
        <v>131</v>
      </c>
    </row>
    <row r="13">
      <c r="C13" s="1"/>
      <c r="D13" s="9" t="s">
        <v>32</v>
      </c>
      <c r="E13" s="24">
        <v>45462.0</v>
      </c>
      <c r="F13" s="21"/>
      <c r="G13" s="16">
        <v>2.0</v>
      </c>
      <c r="H13" s="29">
        <v>1.86</v>
      </c>
      <c r="I13" s="29">
        <f t="shared" si="1"/>
        <v>2.232</v>
      </c>
      <c r="J13" s="33">
        <f t="shared" si="2"/>
        <v>3.72</v>
      </c>
      <c r="K13" s="33">
        <f t="shared" si="3"/>
        <v>4.464</v>
      </c>
      <c r="L13" s="6" t="s">
        <v>139</v>
      </c>
      <c r="M13" s="50" t="s">
        <v>140</v>
      </c>
    </row>
    <row r="14">
      <c r="C14" s="1"/>
      <c r="D14" s="9" t="s">
        <v>33</v>
      </c>
      <c r="E14" s="10" t="s">
        <v>34</v>
      </c>
      <c r="F14" s="12">
        <v>1000.0</v>
      </c>
      <c r="G14" s="16">
        <v>2.0</v>
      </c>
      <c r="H14" s="29">
        <v>7.9</v>
      </c>
      <c r="I14" s="29">
        <f t="shared" si="1"/>
        <v>9.48</v>
      </c>
      <c r="J14" s="33">
        <f t="shared" si="2"/>
        <v>15.8</v>
      </c>
      <c r="K14" s="33">
        <f t="shared" si="3"/>
        <v>18.96</v>
      </c>
      <c r="L14" s="6" t="s">
        <v>147</v>
      </c>
      <c r="M14" s="50" t="s">
        <v>87</v>
      </c>
    </row>
    <row r="15">
      <c r="C15" s="1"/>
      <c r="D15" s="9" t="s">
        <v>35</v>
      </c>
      <c r="E15" s="10">
        <v>5.0</v>
      </c>
      <c r="F15" s="12"/>
      <c r="G15" s="16">
        <v>3.0</v>
      </c>
      <c r="H15" s="29">
        <v>2.9</v>
      </c>
      <c r="I15" s="29">
        <f t="shared" si="1"/>
        <v>3.48</v>
      </c>
      <c r="J15" s="33">
        <f t="shared" si="2"/>
        <v>8.7</v>
      </c>
      <c r="K15" s="33">
        <f t="shared" si="3"/>
        <v>10.44</v>
      </c>
      <c r="L15" s="6" t="s">
        <v>147</v>
      </c>
      <c r="M15" s="50" t="s">
        <v>125</v>
      </c>
    </row>
    <row r="16">
      <c r="C16" s="1"/>
      <c r="D16" s="26" t="s">
        <v>126</v>
      </c>
      <c r="E16" s="10">
        <v>6.35</v>
      </c>
      <c r="F16" s="12" t="s">
        <v>38</v>
      </c>
      <c r="G16" s="16">
        <v>3.0</v>
      </c>
      <c r="H16" s="29">
        <v>2.9</v>
      </c>
      <c r="I16" s="29">
        <f t="shared" si="1"/>
        <v>3.48</v>
      </c>
      <c r="J16" s="33">
        <f t="shared" si="2"/>
        <v>8.7</v>
      </c>
      <c r="K16" s="33">
        <f t="shared" si="3"/>
        <v>10.44</v>
      </c>
      <c r="L16" s="6" t="s">
        <v>147</v>
      </c>
      <c r="M16" s="50" t="s">
        <v>178</v>
      </c>
    </row>
    <row r="17">
      <c r="C17" s="1"/>
      <c r="D17" s="9" t="s">
        <v>40</v>
      </c>
      <c r="E17" s="10">
        <v>6.0</v>
      </c>
      <c r="F17" s="12">
        <v>1000.0</v>
      </c>
      <c r="G17" s="16">
        <v>3.0</v>
      </c>
      <c r="H17" s="29">
        <v>6.9</v>
      </c>
      <c r="I17" s="29">
        <f t="shared" si="1"/>
        <v>8.28</v>
      </c>
      <c r="J17" s="33">
        <f t="shared" si="2"/>
        <v>20.7</v>
      </c>
      <c r="K17" s="33">
        <f t="shared" si="3"/>
        <v>24.84</v>
      </c>
      <c r="L17" s="6" t="s">
        <v>147</v>
      </c>
      <c r="M17" s="43" t="s">
        <v>134</v>
      </c>
    </row>
    <row r="18">
      <c r="C18" s="1"/>
      <c r="D18" s="9" t="s">
        <v>41</v>
      </c>
      <c r="E18" s="10">
        <v>6.0</v>
      </c>
      <c r="F18" s="12"/>
      <c r="G18" s="16">
        <v>6.0</v>
      </c>
      <c r="H18" s="29">
        <v>3.19</v>
      </c>
      <c r="I18" s="29">
        <f t="shared" si="1"/>
        <v>3.828</v>
      </c>
      <c r="J18" s="33">
        <f t="shared" si="2"/>
        <v>19.14</v>
      </c>
      <c r="K18" s="33">
        <f t="shared" si="3"/>
        <v>22.968</v>
      </c>
      <c r="L18" s="6" t="s">
        <v>147</v>
      </c>
      <c r="M18" s="50" t="s">
        <v>188</v>
      </c>
    </row>
    <row r="19">
      <c r="A19" s="44"/>
      <c r="C19" s="58"/>
      <c r="D19" s="9" t="s">
        <v>42</v>
      </c>
      <c r="E19" s="10">
        <v>4.0</v>
      </c>
      <c r="F19" s="21"/>
      <c r="G19" s="16">
        <v>1.0</v>
      </c>
      <c r="H19" s="29">
        <v>4.9</v>
      </c>
      <c r="I19" s="29">
        <f t="shared" si="1"/>
        <v>5.88</v>
      </c>
      <c r="J19" s="33">
        <f t="shared" si="2"/>
        <v>4.9</v>
      </c>
      <c r="K19" s="33">
        <f t="shared" si="3"/>
        <v>5.88</v>
      </c>
      <c r="L19" s="6" t="s">
        <v>147</v>
      </c>
      <c r="M19" s="46" t="s">
        <v>191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B20" s="44"/>
      <c r="C20" s="1"/>
      <c r="D20" s="9" t="s">
        <v>43</v>
      </c>
      <c r="E20" s="10" t="s">
        <v>44</v>
      </c>
      <c r="F20" s="12">
        <v>12.0</v>
      </c>
      <c r="G20" s="16">
        <v>30.0</v>
      </c>
      <c r="H20" s="29">
        <v>0.15</v>
      </c>
      <c r="I20" s="29">
        <f t="shared" si="1"/>
        <v>0.18</v>
      </c>
      <c r="J20" s="33">
        <f t="shared" si="2"/>
        <v>4.5</v>
      </c>
      <c r="K20" s="33">
        <f t="shared" si="3"/>
        <v>5.4</v>
      </c>
      <c r="L20" s="6" t="s">
        <v>147</v>
      </c>
      <c r="M20" s="60" t="s">
        <v>205</v>
      </c>
    </row>
    <row r="21">
      <c r="C21" s="1"/>
      <c r="D21" s="9" t="s">
        <v>45</v>
      </c>
      <c r="E21" s="10" t="s">
        <v>44</v>
      </c>
      <c r="F21" s="12"/>
      <c r="G21" s="16">
        <v>30.0</v>
      </c>
      <c r="H21" s="29">
        <v>0.1</v>
      </c>
      <c r="I21" s="29">
        <f t="shared" si="1"/>
        <v>0.12</v>
      </c>
      <c r="J21" s="33">
        <f t="shared" si="2"/>
        <v>3</v>
      </c>
      <c r="K21" s="33">
        <f t="shared" si="3"/>
        <v>3.6</v>
      </c>
      <c r="L21" s="6" t="s">
        <v>147</v>
      </c>
      <c r="M21" s="60" t="s">
        <v>212</v>
      </c>
    </row>
    <row r="24">
      <c r="J24" s="28">
        <f>SUM(J14:J21)</f>
        <v>85.44</v>
      </c>
    </row>
    <row r="25">
      <c r="E25" s="6" t="s">
        <v>63</v>
      </c>
      <c r="F25" s="28">
        <f>SUM(K7)</f>
        <v>39</v>
      </c>
      <c r="J25" s="28">
        <f>SUM(J14:J21)*0.2</f>
        <v>17.088</v>
      </c>
    </row>
    <row r="26">
      <c r="E26" s="6" t="s">
        <v>98</v>
      </c>
      <c r="F26" s="28">
        <f>SUM(K8:K12)</f>
        <v>66.936</v>
      </c>
    </row>
    <row r="27">
      <c r="E27" s="6" t="s">
        <v>139</v>
      </c>
      <c r="F27" s="28">
        <f>SUM(K13)</f>
        <v>4.464</v>
      </c>
    </row>
    <row r="28">
      <c r="E28" s="6" t="s">
        <v>147</v>
      </c>
      <c r="F28" s="28">
        <f>SUM(K14:K21)</f>
        <v>102.528</v>
      </c>
    </row>
    <row r="29">
      <c r="E29" s="6" t="s">
        <v>20</v>
      </c>
      <c r="F29" s="28">
        <f>SUM(K7:K21)</f>
        <v>212.928</v>
      </c>
    </row>
  </sheetData>
  <hyperlinks>
    <hyperlink r:id="rId1" ref="M7"/>
    <hyperlink r:id="rId2" ref="M8"/>
    <hyperlink r:id="rId3" ref="M9"/>
    <hyperlink r:id="rId4" ref="M10"/>
    <hyperlink r:id="rId5" ref="M11"/>
    <hyperlink r:id="rId6" ref="M12"/>
    <hyperlink r:id="rId7" ref="M13"/>
    <hyperlink r:id="rId8" ref="M14"/>
    <hyperlink r:id="rId9" ref="M15"/>
    <hyperlink r:id="rId10" location="/243-nombre_de_dents-20_dents/246-diametre_d_alesage-635_mm" ref="M16"/>
    <hyperlink r:id="rId11" ref="M17"/>
    <hyperlink r:id="rId12" location="/239-diametre_de_l_arbre-8_mm" ref="M18"/>
    <hyperlink r:id="rId13" ref="M19"/>
    <hyperlink r:id="rId14" ref="M20"/>
    <hyperlink r:id="rId15" ref="M21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75"/>
    <col customWidth="1" min="3" max="3" width="14.75"/>
    <col customWidth="1" min="8" max="8" width="23.75"/>
  </cols>
  <sheetData>
    <row r="1">
      <c r="A1" s="4"/>
      <c r="B1" s="4" t="s">
        <v>6</v>
      </c>
    </row>
    <row r="2">
      <c r="A2" s="7"/>
      <c r="B2" s="7" t="s">
        <v>9</v>
      </c>
      <c r="C2" s="7" t="s">
        <v>10</v>
      </c>
      <c r="D2" s="7" t="s">
        <v>11</v>
      </c>
      <c r="E2" s="7" t="s">
        <v>12</v>
      </c>
      <c r="F2" s="6" t="s">
        <v>13</v>
      </c>
    </row>
    <row r="3">
      <c r="A3" s="11"/>
      <c r="B3" s="11" t="s">
        <v>21</v>
      </c>
      <c r="C3" s="13"/>
      <c r="D3" s="15"/>
      <c r="E3" s="17">
        <v>2.0</v>
      </c>
    </row>
    <row r="4">
      <c r="A4" s="9"/>
      <c r="B4" s="9" t="s">
        <v>26</v>
      </c>
      <c r="C4" s="10"/>
      <c r="D4" s="12"/>
      <c r="E4" s="16">
        <v>1.0</v>
      </c>
    </row>
    <row r="5">
      <c r="A5" s="9"/>
      <c r="B5" s="9" t="s">
        <v>27</v>
      </c>
      <c r="C5" s="10"/>
      <c r="D5" s="21"/>
      <c r="E5" s="16">
        <v>1.0</v>
      </c>
    </row>
    <row r="6">
      <c r="A6" s="9"/>
      <c r="B6" s="9" t="s">
        <v>29</v>
      </c>
      <c r="C6" s="10"/>
      <c r="D6" s="21"/>
      <c r="E6" s="16">
        <v>1.0</v>
      </c>
    </row>
    <row r="7">
      <c r="A7" s="9"/>
      <c r="B7" s="9" t="s">
        <v>30</v>
      </c>
      <c r="C7" s="10"/>
      <c r="D7" s="21"/>
      <c r="E7" s="16">
        <v>4.0</v>
      </c>
    </row>
    <row r="8">
      <c r="A8" s="9"/>
      <c r="B8" s="9" t="s">
        <v>32</v>
      </c>
      <c r="C8" s="24">
        <v>45462.0</v>
      </c>
      <c r="D8" s="21"/>
      <c r="E8" s="16">
        <v>2.0</v>
      </c>
    </row>
    <row r="9">
      <c r="A9" s="9"/>
      <c r="B9" s="9" t="s">
        <v>33</v>
      </c>
      <c r="C9" s="10" t="s">
        <v>34</v>
      </c>
      <c r="D9" s="12">
        <v>1000.0</v>
      </c>
      <c r="E9" s="16">
        <v>2.0</v>
      </c>
    </row>
    <row r="10">
      <c r="A10" s="9"/>
      <c r="B10" s="9" t="s">
        <v>35</v>
      </c>
      <c r="C10" s="10">
        <v>5.0</v>
      </c>
      <c r="D10" s="12"/>
      <c r="E10" s="16">
        <v>3.0</v>
      </c>
    </row>
    <row r="11">
      <c r="A11" s="26"/>
      <c r="B11" s="26" t="s">
        <v>36</v>
      </c>
      <c r="C11" s="10">
        <v>6.35</v>
      </c>
      <c r="D11" s="12" t="s">
        <v>38</v>
      </c>
      <c r="E11" s="16">
        <v>3.0</v>
      </c>
    </row>
    <row r="12">
      <c r="A12" s="9"/>
      <c r="B12" s="9" t="s">
        <v>39</v>
      </c>
      <c r="C12" s="27"/>
      <c r="D12" s="12">
        <v>5000.0</v>
      </c>
      <c r="E12" s="16">
        <v>1.0</v>
      </c>
    </row>
    <row r="13">
      <c r="A13" s="9"/>
      <c r="B13" s="9" t="s">
        <v>40</v>
      </c>
      <c r="C13" s="10">
        <v>6.0</v>
      </c>
      <c r="D13" s="12">
        <v>1000.0</v>
      </c>
      <c r="E13" s="16">
        <v>3.0</v>
      </c>
    </row>
    <row r="14">
      <c r="A14" s="9"/>
      <c r="B14" s="9" t="s">
        <v>41</v>
      </c>
      <c r="C14" s="10">
        <v>6.0</v>
      </c>
      <c r="D14" s="12"/>
      <c r="E14" s="16">
        <v>6.0</v>
      </c>
    </row>
    <row r="15">
      <c r="A15" s="9"/>
      <c r="B15" s="9" t="s">
        <v>42</v>
      </c>
      <c r="C15" s="10">
        <v>4.0</v>
      </c>
      <c r="D15" s="21"/>
      <c r="E15" s="16">
        <v>1.0</v>
      </c>
    </row>
    <row r="16">
      <c r="A16" s="9"/>
      <c r="B16" s="9" t="s">
        <v>43</v>
      </c>
      <c r="C16" s="10" t="s">
        <v>44</v>
      </c>
      <c r="D16" s="12">
        <v>12.0</v>
      </c>
      <c r="E16" s="16">
        <v>30.0</v>
      </c>
    </row>
    <row r="17">
      <c r="A17" s="9"/>
      <c r="B17" s="9" t="s">
        <v>45</v>
      </c>
      <c r="C17" s="10" t="s">
        <v>44</v>
      </c>
      <c r="D17" s="12"/>
      <c r="E17" s="16">
        <v>30.0</v>
      </c>
    </row>
    <row r="18">
      <c r="A18" s="7"/>
      <c r="B18" s="7" t="s">
        <v>48</v>
      </c>
    </row>
    <row r="19">
      <c r="A19" s="9" t="s">
        <v>49</v>
      </c>
      <c r="B19" s="9" t="s">
        <v>50</v>
      </c>
      <c r="C19" s="31" t="s">
        <v>51</v>
      </c>
      <c r="D19" s="12">
        <v>16.0</v>
      </c>
      <c r="E19" s="17">
        <v>1.0</v>
      </c>
      <c r="F19" s="6" t="s">
        <v>53</v>
      </c>
    </row>
    <row r="20">
      <c r="A20" s="9" t="s">
        <v>54</v>
      </c>
      <c r="B20" s="9" t="s">
        <v>50</v>
      </c>
      <c r="C20" s="31" t="s">
        <v>51</v>
      </c>
      <c r="D20" s="12">
        <v>48.0</v>
      </c>
      <c r="E20" s="35">
        <v>4.0</v>
      </c>
      <c r="F20" s="6" t="s">
        <v>56</v>
      </c>
    </row>
    <row r="21">
      <c r="A21" s="26" t="s">
        <v>57</v>
      </c>
      <c r="B21" s="26" t="s">
        <v>50</v>
      </c>
      <c r="C21" s="31" t="s">
        <v>51</v>
      </c>
      <c r="D21" s="12">
        <v>80.0</v>
      </c>
      <c r="E21" s="35">
        <v>1.0</v>
      </c>
      <c r="F21" s="6" t="s">
        <v>59</v>
      </c>
    </row>
    <row r="22">
      <c r="A22" s="26" t="s">
        <v>60</v>
      </c>
      <c r="B22" s="26" t="s">
        <v>50</v>
      </c>
      <c r="C22" s="31" t="s">
        <v>51</v>
      </c>
      <c r="D22" s="12">
        <v>96.0</v>
      </c>
      <c r="E22" s="35">
        <v>4.0</v>
      </c>
      <c r="F22" s="6" t="s">
        <v>61</v>
      </c>
    </row>
    <row r="23">
      <c r="A23" s="26" t="s">
        <v>62</v>
      </c>
      <c r="B23" s="26" t="s">
        <v>50</v>
      </c>
      <c r="C23" s="31" t="s">
        <v>51</v>
      </c>
      <c r="D23" s="12">
        <v>112.0</v>
      </c>
      <c r="E23" s="35">
        <v>2.0</v>
      </c>
      <c r="F23" s="6" t="s">
        <v>64</v>
      </c>
    </row>
    <row r="24">
      <c r="A24" s="26" t="s">
        <v>65</v>
      </c>
      <c r="B24" s="26" t="s">
        <v>50</v>
      </c>
      <c r="C24" s="37" t="s">
        <v>66</v>
      </c>
      <c r="D24" s="38">
        <v>80.0</v>
      </c>
      <c r="E24" s="35">
        <v>1.0</v>
      </c>
      <c r="F24" s="6" t="s">
        <v>69</v>
      </c>
    </row>
    <row r="25" ht="123.75" customHeight="1">
      <c r="A25" s="9" t="s">
        <v>70</v>
      </c>
      <c r="B25" s="9" t="s">
        <v>71</v>
      </c>
      <c r="C25" s="10" t="s">
        <v>72</v>
      </c>
      <c r="D25" s="12">
        <v>24.0</v>
      </c>
      <c r="E25" s="16">
        <v>2.0</v>
      </c>
      <c r="G25" s="6">
        <v>10.0</v>
      </c>
      <c r="H25" s="39"/>
    </row>
    <row r="26" ht="111.75" customHeight="1">
      <c r="A26" s="40" t="s">
        <v>77</v>
      </c>
      <c r="B26" s="40" t="s">
        <v>78</v>
      </c>
      <c r="C26" s="41" t="s">
        <v>79</v>
      </c>
      <c r="D26" s="42">
        <v>24.0</v>
      </c>
      <c r="E26" s="35">
        <v>5.0</v>
      </c>
      <c r="G26" s="6">
        <v>12.0</v>
      </c>
      <c r="H26" s="39"/>
    </row>
    <row r="27">
      <c r="A27" s="40"/>
      <c r="B27" s="40" t="s">
        <v>81</v>
      </c>
      <c r="C27" s="41" t="s">
        <v>82</v>
      </c>
      <c r="D27" s="42">
        <v>2.0</v>
      </c>
      <c r="E27" s="35">
        <v>5.0</v>
      </c>
      <c r="G27" s="6">
        <v>11.0</v>
      </c>
    </row>
    <row r="28" ht="69.75" customHeight="1">
      <c r="A28" s="40" t="s">
        <v>84</v>
      </c>
      <c r="B28" s="40" t="s">
        <v>85</v>
      </c>
      <c r="C28" s="41" t="s">
        <v>86</v>
      </c>
      <c r="D28" s="42">
        <v>3.0</v>
      </c>
      <c r="E28" s="35">
        <v>3.0</v>
      </c>
      <c r="G28" s="6">
        <v>13.0</v>
      </c>
      <c r="H28" s="39"/>
    </row>
    <row r="29">
      <c r="A29" s="40" t="s">
        <v>88</v>
      </c>
      <c r="B29" s="40" t="s">
        <v>90</v>
      </c>
      <c r="C29" s="13"/>
      <c r="D29" s="15"/>
      <c r="E29" s="35">
        <v>4.0</v>
      </c>
      <c r="G29" s="6">
        <v>40.0</v>
      </c>
    </row>
    <row r="30" ht="100.5" customHeight="1">
      <c r="A30" s="40" t="s">
        <v>91</v>
      </c>
      <c r="B30" s="40" t="s">
        <v>91</v>
      </c>
      <c r="C30" s="41" t="s">
        <v>92</v>
      </c>
      <c r="D30" s="42">
        <v>4.0</v>
      </c>
      <c r="E30" s="35">
        <v>1.0</v>
      </c>
      <c r="G30" s="6">
        <v>41.0</v>
      </c>
      <c r="H30" s="44"/>
    </row>
    <row r="31" ht="96.75" customHeight="1">
      <c r="A31" s="40" t="s">
        <v>93</v>
      </c>
      <c r="B31" s="40" t="s">
        <v>94</v>
      </c>
      <c r="C31" s="41" t="s">
        <v>95</v>
      </c>
      <c r="D31" s="42">
        <v>26.0</v>
      </c>
      <c r="E31" s="35">
        <v>2.0</v>
      </c>
      <c r="G31" s="6">
        <v>14.0</v>
      </c>
      <c r="H31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25"/>
  </cols>
  <sheetData>
    <row r="1">
      <c r="A1" s="14" t="s">
        <v>4</v>
      </c>
    </row>
    <row r="2">
      <c r="A2" s="25" t="s">
        <v>24</v>
      </c>
    </row>
    <row r="3">
      <c r="A3" s="25" t="s">
        <v>37</v>
      </c>
    </row>
    <row r="4">
      <c r="A4" s="25" t="s">
        <v>46</v>
      </c>
    </row>
    <row r="5">
      <c r="A5" s="25" t="s">
        <v>58</v>
      </c>
    </row>
    <row r="6">
      <c r="A6" s="25" t="s">
        <v>68</v>
      </c>
    </row>
    <row r="7">
      <c r="A7" s="25" t="s">
        <v>75</v>
      </c>
    </row>
    <row r="8">
      <c r="A8" s="25" t="s">
        <v>89</v>
      </c>
    </row>
    <row r="9">
      <c r="A9" s="25" t="s">
        <v>96</v>
      </c>
    </row>
    <row r="10">
      <c r="A10" s="14" t="s">
        <v>102</v>
      </c>
    </row>
    <row r="11">
      <c r="A11" s="25" t="s">
        <v>105</v>
      </c>
    </row>
    <row r="12">
      <c r="A12" s="25" t="s">
        <v>109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</hyperlinks>
  <drawing r:id="rId13"/>
</worksheet>
</file>